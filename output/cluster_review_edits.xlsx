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ilya/spatial-queries/output/"/>
    </mc:Choice>
  </mc:AlternateContent>
  <xr:revisionPtr revIDLastSave="0" documentId="13_ncr:1_{CC77736A-69E3-FC46-8743-37BA40F7AB62}" xr6:coauthVersionLast="47" xr6:coauthVersionMax="47" xr10:uidLastSave="{00000000-0000-0000-0000-000000000000}"/>
  <bookViews>
    <workbookView xWindow="24640" yWindow="620" windowWidth="25620" windowHeight="26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2" i="1" l="1"/>
  <c r="E82" i="1"/>
</calcChain>
</file>

<file path=xl/sharedStrings.xml><?xml version="1.0" encoding="utf-8"?>
<sst xmlns="http://schemas.openxmlformats.org/spreadsheetml/2006/main" count="555" uniqueCount="239">
  <si>
    <t>label</t>
  </si>
  <si>
    <t>n_samples</t>
  </si>
  <si>
    <t>representative_query</t>
  </si>
  <si>
    <t>what is the url for the state bank of the lakes</t>
  </si>
  <si>
    <t>weather in mon</t>
  </si>
  <si>
    <t>how much money does it cost to go in the burj</t>
  </si>
  <si>
    <t>how old do you have to be to have a cdl  in new york state</t>
  </si>
  <si>
    <t>where is the main us army base</t>
  </si>
  <si>
    <t>how far is earth from the mars</t>
  </si>
  <si>
    <t>where did an earthquake occur today in us that was unusual</t>
  </si>
  <si>
    <t>what parish is shreveport in</t>
  </si>
  <si>
    <t>toronto is in what province</t>
  </si>
  <si>
    <t>where was the black death found</t>
  </si>
  <si>
    <t>what is the tallest building in the world</t>
  </si>
  <si>
    <t>in what county is jackson ms</t>
  </si>
  <si>
    <t>longest bridge in</t>
  </si>
  <si>
    <t>what county is birmingham al in</t>
  </si>
  <si>
    <t>austin texas  is in what county</t>
  </si>
  <si>
    <t>what county is kansas city mo in</t>
  </si>
  <si>
    <t>what region is ireland located</t>
  </si>
  <si>
    <t>what is the location of washington dc</t>
  </si>
  <si>
    <t>what is the largest city in the US by area</t>
  </si>
  <si>
    <t>what county in minneapolis mn</t>
  </si>
  <si>
    <t>lansing mi is in what county</t>
  </si>
  <si>
    <t>where was the ranch filmed</t>
  </si>
  <si>
    <t>what county is iowa city in</t>
  </si>
  <si>
    <t>hospital in detroit</t>
  </si>
  <si>
    <t>where is penn state's main campus</t>
  </si>
  <si>
    <t>where is the open being played</t>
  </si>
  <si>
    <t>in what county is washington wi</t>
  </si>
  <si>
    <t>oakdale is in what county</t>
  </si>
  <si>
    <t>what county is atlanta</t>
  </si>
  <si>
    <t>in what county is topeka ks</t>
  </si>
  <si>
    <t>what county is new york ny</t>
  </si>
  <si>
    <t>what county is boston, ma</t>
  </si>
  <si>
    <t>what is the county of florida</t>
  </si>
  <si>
    <t>butte is in what county</t>
  </si>
  <si>
    <t>what county is bergen nj in</t>
  </si>
  <si>
    <t>what county in lebanon pa in</t>
  </si>
  <si>
    <t>which mountain is the tallest</t>
  </si>
  <si>
    <t>phone number for springfield</t>
  </si>
  <si>
    <t>what area code</t>
  </si>
  <si>
    <t>what's the zip code for this place?</t>
  </si>
  <si>
    <t>population in grafton county</t>
  </si>
  <si>
    <t>valencia is in what county in ca</t>
  </si>
  <si>
    <t>what channel is the cubs game</t>
  </si>
  <si>
    <t>what county richmond va</t>
  </si>
  <si>
    <t>what county is raleigh north carolina located in</t>
  </si>
  <si>
    <t>what is the best time of the year to go to cozumel</t>
  </si>
  <si>
    <t>in what county is columbus, oh</t>
  </si>
  <si>
    <t>river that serves largest cultivable area</t>
  </si>
  <si>
    <t>what county is chicago in illinois</t>
  </si>
  <si>
    <t>where was the volcano that erupted today</t>
  </si>
  <si>
    <t>what is the deepest freshwater lake in the world</t>
  </si>
  <si>
    <t>what county is centreville maryland in</t>
  </si>
  <si>
    <t>what is closest airport</t>
  </si>
  <si>
    <t>what county nashville tn in</t>
  </si>
  <si>
    <t>what county is maysville ky</t>
  </si>
  <si>
    <t>how many hotel rooms are on the vegas strip</t>
  </si>
  <si>
    <t>what hotels are under holiday inn</t>
  </si>
  <si>
    <t>where can the grasslands be found</t>
  </si>
  <si>
    <t>what time does walmart opens</t>
  </si>
  <si>
    <t>what time zone is in</t>
  </si>
  <si>
    <t>asia where is it located</t>
  </si>
  <si>
    <t>what island is off the map</t>
  </si>
  <si>
    <t>how far is it between two cities</t>
  </si>
  <si>
    <t>how soon should i get to the airport</t>
  </si>
  <si>
    <t>what language do they speak in malta</t>
  </si>
  <si>
    <t>where part of africa is nigeria at</t>
  </si>
  <si>
    <t>in what region of the world is egypt located</t>
  </si>
  <si>
    <t>where are bugatti's manufactured</t>
  </si>
  <si>
    <t>distance las vegas to grand canyon</t>
  </si>
  <si>
    <t>how far is it from dallas to atlanta</t>
  </si>
  <si>
    <t>what foods do they eat in italy</t>
  </si>
  <si>
    <t>what is italy's location</t>
  </si>
  <si>
    <t>where is headquarters located</t>
  </si>
  <si>
    <t>where can i buy avalanche sharks</t>
  </si>
  <si>
    <t>how many shops does walmart have</t>
  </si>
  <si>
    <t>level1</t>
  </si>
  <si>
    <t>level2</t>
  </si>
  <si>
    <t>Generic factual queries with weak or implicit spatial reference</t>
  </si>
  <si>
    <t>title</t>
  </si>
  <si>
    <t>Weather conditions at a specific place and time</t>
  </si>
  <si>
    <t>Costs and prices associated with a specific location</t>
  </si>
  <si>
    <t>Legal status or eligibility constrained by jurisdiction</t>
  </si>
  <si>
    <t>Location of military bases and defence facilities</t>
  </si>
  <si>
    <t>Distances and positions of celestial bodies</t>
  </si>
  <si>
    <t>Location and occurrence of natural disasters</t>
  </si>
  <si>
    <t>Parish and county membership of places in Louisiana</t>
  </si>
  <si>
    <t>Province membership of places in Canada</t>
  </si>
  <si>
    <t>Location and height of major buildings and monuments</t>
  </si>
  <si>
    <t>County membership of places in Mississippi</t>
  </si>
  <si>
    <t>Location, length, and connections of bridges and tunnels</t>
  </si>
  <si>
    <t>County membership of places in Alabama</t>
  </si>
  <si>
    <t>County membership of places in Texas</t>
  </si>
  <si>
    <t>County membership of places in Missouri</t>
  </si>
  <si>
    <t>Location of places and landmarks in the British Isles</t>
  </si>
  <si>
    <t>Rankings and comparisons of cities and states</t>
  </si>
  <si>
    <t>County membership of places in Minnesota</t>
  </si>
  <si>
    <t>County membership of places in Michigan</t>
  </si>
  <si>
    <t>Filming locations</t>
  </si>
  <si>
    <t>County membership of places in Iowa</t>
  </si>
  <si>
    <t>Location of hospitals and medical services</t>
  </si>
  <si>
    <t>Location of universities and college campuses</t>
  </si>
  <si>
    <t>Location of sports venues and events</t>
  </si>
  <si>
    <t>Location of places around Washington DC</t>
  </si>
  <si>
    <t>Location of historical events, deaths, and disasters</t>
  </si>
  <si>
    <t>County membership of places in Wisconsin</t>
  </si>
  <si>
    <t>County membership of places in Georgia</t>
  </si>
  <si>
    <t>County membership of places in Kansas and Arkansas</t>
  </si>
  <si>
    <t>County membership of places in New York state</t>
  </si>
  <si>
    <t>County membership of places in Massachusetts and New Hampshire</t>
  </si>
  <si>
    <t>County membership of places in Florida</t>
  </si>
  <si>
    <t>County membership of places in western US</t>
  </si>
  <si>
    <t>County membership of places in New Jersey</t>
  </si>
  <si>
    <t>County membership of places in Pennsylvania</t>
  </si>
  <si>
    <t>Location and elevation of mountains and landforms</t>
  </si>
  <si>
    <t>Contact details associated with a place or organisation</t>
  </si>
  <si>
    <t>Telephone area codes associated with places</t>
  </si>
  <si>
    <t>ZIP or postal code associated with places</t>
  </si>
  <si>
    <t>Population size of a place or administrative area</t>
  </si>
  <si>
    <t>County membership of places in California</t>
  </si>
  <si>
    <t>TV/broadcast availability by location</t>
  </si>
  <si>
    <t>County membership of places in Virginia and West Virginia</t>
  </si>
  <si>
    <t>County membership of places in North and South Carolina</t>
  </si>
  <si>
    <t>Best time or season to visit a place</t>
  </si>
  <si>
    <t>County membership of places in Ohio</t>
  </si>
  <si>
    <t>Location and course of rivers</t>
  </si>
  <si>
    <t>County membership of places in Illinois</t>
  </si>
  <si>
    <t>Location and characteristics of volcanoes</t>
  </si>
  <si>
    <t>Location, depth, and size of lakes and water bodies</t>
  </si>
  <si>
    <t>County membership of places in Maryland</t>
  </si>
  <si>
    <t>Nearest airport or air access to a place</t>
  </si>
  <si>
    <t>County membership of places in Tennessee</t>
  </si>
  <si>
    <t>County membership of places in Kentucky</t>
  </si>
  <si>
    <t>Location and capacity of casinos and resort hotels</t>
  </si>
  <si>
    <t>Location of hotels and accommodation</t>
  </si>
  <si>
    <t>Geographic distribution of biomes, plants, and animals</t>
  </si>
  <si>
    <t>Opening hours and schedules for locations</t>
  </si>
  <si>
    <t>Timezones and time differences between places</t>
  </si>
  <si>
    <t>Travel duration (flying)</t>
  </si>
  <si>
    <t>Distance between places</t>
  </si>
  <si>
    <t>Languages spoken in places or regions</t>
  </si>
  <si>
    <t>Location of places and regions within Asia</t>
  </si>
  <si>
    <t>Location of islands</t>
  </si>
  <si>
    <t>Location of countries and regions in Africa</t>
  </si>
  <si>
    <t>Location of places in the Middle East</t>
  </si>
  <si>
    <t>Manufacturing or production location of goods</t>
  </si>
  <si>
    <t>Distance between places (Las Vegas/US South West focus)</t>
  </si>
  <si>
    <t>Distance and driving times between US cities</t>
  </si>
  <si>
    <t>Foods and cuisines associated with places</t>
  </si>
  <si>
    <t>Absolute locations of countries and cities worldwide</t>
  </si>
  <si>
    <t>Locations of organisation and corporate headquarters</t>
  </si>
  <si>
    <t>Purchase or sale location of products</t>
  </si>
  <si>
    <t>Retail store locations and counts</t>
  </si>
  <si>
    <t>Location</t>
  </si>
  <si>
    <t>Containment</t>
  </si>
  <si>
    <t>Distance</t>
  </si>
  <si>
    <t>Distribution</t>
  </si>
  <si>
    <t>Proximity</t>
  </si>
  <si>
    <t>Physical</t>
  </si>
  <si>
    <t>Economic</t>
  </si>
  <si>
    <t>Administrative</t>
  </si>
  <si>
    <t>Institutional</t>
  </si>
  <si>
    <t>Events-based</t>
  </si>
  <si>
    <t>Cultural</t>
  </si>
  <si>
    <t>County membership of towns and places in US</t>
  </si>
  <si>
    <t>Contact details</t>
  </si>
  <si>
    <t>Costs and prices</t>
  </si>
  <si>
    <t>Celestial bodies</t>
  </si>
  <si>
    <t>Which county (US)</t>
  </si>
  <si>
    <t>Distances and driving times</t>
  </si>
  <si>
    <t>Foods and cuisines</t>
  </si>
  <si>
    <t>Biomes, plants, and animals</t>
  </si>
  <si>
    <t>Languages spoken</t>
  </si>
  <si>
    <t>Legal status or eligibility</t>
  </si>
  <si>
    <t>Rivers</t>
  </si>
  <si>
    <t>Countries and regions in Africa</t>
  </si>
  <si>
    <t>Historical events, deaths, and disasters</t>
  </si>
  <si>
    <t>Hospitals and medical services</t>
  </si>
  <si>
    <t>Hotels and accommodation</t>
  </si>
  <si>
    <t>Islands</t>
  </si>
  <si>
    <t>Military bases, defence facilities</t>
  </si>
  <si>
    <t>Places in the British Isles</t>
  </si>
  <si>
    <t>Places in Asia</t>
  </si>
  <si>
    <t>Places in Washington DC</t>
  </si>
  <si>
    <t>Places in the Middle East</t>
  </si>
  <si>
    <t>Sports venues and events</t>
  </si>
  <si>
    <t>Universities and campuses</t>
  </si>
  <si>
    <t>Lakes and water bodies</t>
  </si>
  <si>
    <t>Bridges and tunnels</t>
  </si>
  <si>
    <t>Corporate headquarters</t>
  </si>
  <si>
    <t>Manufacturing locations</t>
  </si>
  <si>
    <t>Airports and air access</t>
  </si>
  <si>
    <t>Opening hours</t>
  </si>
  <si>
    <t>Population sizes</t>
  </si>
  <si>
    <t>Which province (Canada)</t>
  </si>
  <si>
    <t>Store locations and counts</t>
  </si>
  <si>
    <t>Telephone area codes</t>
  </si>
  <si>
    <t>Timezones and time differences</t>
  </si>
  <si>
    <t>TV/broadcast availability</t>
  </si>
  <si>
    <t>Weather conditions</t>
  </si>
  <si>
    <t>ZIP and postal codes</t>
  </si>
  <si>
    <t>title-0</t>
  </si>
  <si>
    <t>Containment (in / within / belongs to)</t>
  </si>
  <si>
    <t>Distance (how far / how long)</t>
  </si>
  <si>
    <t>Proximity (nearest / closest)</t>
  </si>
  <si>
    <t>Location (where is / absolute position)</t>
  </si>
  <si>
    <t>Distribution (where found / where occurs)</t>
  </si>
  <si>
    <t>Administrative (county, state, parish, country)</t>
  </si>
  <si>
    <t>Physical (mountains, rivers, planets)</t>
  </si>
  <si>
    <t>Institutional (universities, hospitals, HQs)</t>
  </si>
  <si>
    <t>Event-based (filming, disasters, history)</t>
  </si>
  <si>
    <t>Cultural (language, food)</t>
  </si>
  <si>
    <t>Comparison</t>
  </si>
  <si>
    <t>Access</t>
  </si>
  <si>
    <t>Spatiotemporal</t>
  </si>
  <si>
    <t>Spatiotemporal (when to go / seasonal / opening times)</t>
  </si>
  <si>
    <t>Access (airports, transport, reachability)</t>
  </si>
  <si>
    <t>Comparison (largest / highest / most)</t>
  </si>
  <si>
    <t>Economic (stores, hotels, prices)</t>
  </si>
  <si>
    <t>Occurrence of natural disasters</t>
  </si>
  <si>
    <t>Generic factual queries</t>
  </si>
  <si>
    <t>Occurrence</t>
  </si>
  <si>
    <t>Temporal</t>
  </si>
  <si>
    <t>group</t>
  </si>
  <si>
    <t>Referencing</t>
  </si>
  <si>
    <t>Relations</t>
  </si>
  <si>
    <t>Attributes</t>
  </si>
  <si>
    <t>group0</t>
  </si>
  <si>
    <t>Best time or season to visit</t>
  </si>
  <si>
    <t>Product sale locations</t>
  </si>
  <si>
    <t>Rankings and comparisons of places</t>
  </si>
  <si>
    <t>Buildings, monuments (height, location)</t>
  </si>
  <si>
    <t>Mountains, landforms (elevation)</t>
  </si>
  <si>
    <t>Temporal = Spatio-Temporal Qualification, treat as spatial attributes</t>
  </si>
  <si>
    <t>Countries and cities (worldwide)</t>
  </si>
  <si>
    <t>UNIQUE VALUES</t>
  </si>
  <si>
    <t>Location and capactiy of casinos, resorts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</si>
</sst>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7" tint="0.3999755851924192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0" borderId="0" xfId="0" applyFont="1"/>
    <xf numFmtId="0" fontId="1" fillId="0" borderId="0" xfId="0" applyFont="1" applyAlignment="1">
      <alignment horizontal="center" vertical="top"/>
    </xf>
    <xf numFmtId="0" fontId="0" fillId="5" borderId="0" xfId="0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2"/>
  <sheetViews>
    <sheetView tabSelected="1" topLeftCell="A24" zoomScale="120" zoomScaleNormal="120" workbookViewId="0">
      <selection activeCell="D42" sqref="D42"/>
    </sheetView>
  </sheetViews>
  <sheetFormatPr baseColWidth="10" defaultColWidth="8.83203125" defaultRowHeight="15" x14ac:dyDescent="0.2"/>
  <cols>
    <col min="3" max="3" width="49.83203125" customWidth="1"/>
    <col min="4" max="4" width="41.1640625" customWidth="1"/>
    <col min="5" max="5" width="67.83203125" customWidth="1"/>
    <col min="6" max="6" width="23.83203125" customWidth="1"/>
    <col min="7" max="7" width="23.33203125" customWidth="1"/>
    <col min="8" max="8" width="12.5" customWidth="1"/>
    <col min="9" max="9" width="24" customWidth="1"/>
    <col min="10" max="10" width="53.6640625" customWidth="1"/>
    <col min="11" max="11" width="37.332031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3" t="s">
        <v>81</v>
      </c>
      <c r="E1" s="3" t="s">
        <v>203</v>
      </c>
      <c r="F1" s="2" t="s">
        <v>78</v>
      </c>
      <c r="G1" s="2" t="s">
        <v>79</v>
      </c>
      <c r="H1" s="2" t="s">
        <v>229</v>
      </c>
      <c r="I1" s="8" t="s">
        <v>225</v>
      </c>
    </row>
    <row r="2" spans="1:10" x14ac:dyDescent="0.2">
      <c r="A2">
        <v>70</v>
      </c>
      <c r="B2">
        <v>2923</v>
      </c>
      <c r="C2" t="s">
        <v>74</v>
      </c>
      <c r="D2" t="s">
        <v>236</v>
      </c>
      <c r="E2" t="s">
        <v>151</v>
      </c>
      <c r="F2" t="s">
        <v>155</v>
      </c>
      <c r="G2" t="s">
        <v>162</v>
      </c>
      <c r="H2" t="s">
        <v>155</v>
      </c>
      <c r="I2" t="s">
        <v>226</v>
      </c>
    </row>
    <row r="3" spans="1:10" x14ac:dyDescent="0.2">
      <c r="A3">
        <v>44</v>
      </c>
      <c r="B3">
        <v>222</v>
      </c>
      <c r="C3" t="s">
        <v>48</v>
      </c>
      <c r="D3" t="s">
        <v>230</v>
      </c>
      <c r="E3" t="s">
        <v>125</v>
      </c>
      <c r="F3" t="s">
        <v>216</v>
      </c>
      <c r="G3" t="s">
        <v>165</v>
      </c>
      <c r="H3" t="s">
        <v>224</v>
      </c>
      <c r="I3" t="s">
        <v>224</v>
      </c>
    </row>
    <row r="4" spans="1:10" x14ac:dyDescent="0.2">
      <c r="A4">
        <v>36</v>
      </c>
      <c r="B4">
        <v>1248</v>
      </c>
      <c r="C4" t="s">
        <v>40</v>
      </c>
      <c r="D4" t="s">
        <v>167</v>
      </c>
      <c r="E4" t="s">
        <v>117</v>
      </c>
      <c r="F4" t="s">
        <v>155</v>
      </c>
      <c r="G4" t="s">
        <v>163</v>
      </c>
      <c r="H4" t="s">
        <v>155</v>
      </c>
      <c r="I4" t="s">
        <v>228</v>
      </c>
      <c r="J4" s="4" t="s">
        <v>204</v>
      </c>
    </row>
    <row r="5" spans="1:10" x14ac:dyDescent="0.2">
      <c r="A5">
        <v>1</v>
      </c>
      <c r="B5">
        <v>8374</v>
      </c>
      <c r="C5" t="s">
        <v>5</v>
      </c>
      <c r="D5" t="s">
        <v>168</v>
      </c>
      <c r="E5" t="s">
        <v>83</v>
      </c>
      <c r="F5" t="s">
        <v>155</v>
      </c>
      <c r="G5" t="s">
        <v>161</v>
      </c>
      <c r="H5" t="s">
        <v>223</v>
      </c>
      <c r="I5" t="s">
        <v>228</v>
      </c>
      <c r="J5" s="4" t="s">
        <v>205</v>
      </c>
    </row>
    <row r="6" spans="1:10" x14ac:dyDescent="0.2">
      <c r="A6">
        <v>12</v>
      </c>
      <c r="B6">
        <v>229</v>
      </c>
      <c r="C6" t="s">
        <v>16</v>
      </c>
      <c r="D6" t="s">
        <v>170</v>
      </c>
      <c r="E6" t="s">
        <v>93</v>
      </c>
      <c r="F6" t="s">
        <v>156</v>
      </c>
      <c r="G6" t="s">
        <v>162</v>
      </c>
      <c r="H6" t="s">
        <v>156</v>
      </c>
      <c r="I6" t="s">
        <v>226</v>
      </c>
      <c r="J6" s="4" t="s">
        <v>206</v>
      </c>
    </row>
    <row r="7" spans="1:10" x14ac:dyDescent="0.2">
      <c r="A7">
        <v>40</v>
      </c>
      <c r="B7">
        <v>1402</v>
      </c>
      <c r="C7" t="s">
        <v>44</v>
      </c>
      <c r="D7" t="s">
        <v>170</v>
      </c>
      <c r="E7" t="s">
        <v>121</v>
      </c>
      <c r="F7" t="s">
        <v>156</v>
      </c>
      <c r="G7" t="s">
        <v>162</v>
      </c>
      <c r="H7" t="s">
        <v>156</v>
      </c>
      <c r="I7" t="s">
        <v>226</v>
      </c>
      <c r="J7" s="4" t="s">
        <v>207</v>
      </c>
    </row>
    <row r="8" spans="1:10" x14ac:dyDescent="0.2">
      <c r="A8">
        <v>31</v>
      </c>
      <c r="B8">
        <v>1031</v>
      </c>
      <c r="C8" t="s">
        <v>35</v>
      </c>
      <c r="D8" t="s">
        <v>170</v>
      </c>
      <c r="E8" t="s">
        <v>112</v>
      </c>
      <c r="F8" t="s">
        <v>156</v>
      </c>
      <c r="G8" t="s">
        <v>162</v>
      </c>
      <c r="H8" t="s">
        <v>156</v>
      </c>
      <c r="I8" t="s">
        <v>226</v>
      </c>
      <c r="J8" s="4" t="s">
        <v>208</v>
      </c>
    </row>
    <row r="9" spans="1:10" x14ac:dyDescent="0.2">
      <c r="A9">
        <v>27</v>
      </c>
      <c r="B9">
        <v>362</v>
      </c>
      <c r="C9" t="s">
        <v>31</v>
      </c>
      <c r="D9" t="s">
        <v>170</v>
      </c>
      <c r="E9" t="s">
        <v>108</v>
      </c>
      <c r="F9" t="s">
        <v>156</v>
      </c>
      <c r="G9" t="s">
        <v>162</v>
      </c>
      <c r="H9" t="s">
        <v>156</v>
      </c>
      <c r="I9" t="s">
        <v>226</v>
      </c>
      <c r="J9" s="4" t="s">
        <v>217</v>
      </c>
    </row>
    <row r="10" spans="1:10" x14ac:dyDescent="0.2">
      <c r="A10">
        <v>47</v>
      </c>
      <c r="B10">
        <v>483</v>
      </c>
      <c r="C10" t="s">
        <v>51</v>
      </c>
      <c r="D10" t="s">
        <v>170</v>
      </c>
      <c r="E10" t="s">
        <v>128</v>
      </c>
      <c r="F10" t="s">
        <v>156</v>
      </c>
      <c r="G10" t="s">
        <v>162</v>
      </c>
      <c r="H10" t="s">
        <v>156</v>
      </c>
      <c r="I10" t="s">
        <v>226</v>
      </c>
      <c r="J10" s="4" t="s">
        <v>219</v>
      </c>
    </row>
    <row r="11" spans="1:10" x14ac:dyDescent="0.2">
      <c r="A11">
        <v>21</v>
      </c>
      <c r="B11">
        <v>214</v>
      </c>
      <c r="C11" t="s">
        <v>25</v>
      </c>
      <c r="D11" t="s">
        <v>170</v>
      </c>
      <c r="E11" t="s">
        <v>101</v>
      </c>
      <c r="F11" t="s">
        <v>156</v>
      </c>
      <c r="G11" t="s">
        <v>162</v>
      </c>
      <c r="H11" t="s">
        <v>156</v>
      </c>
      <c r="I11" t="s">
        <v>226</v>
      </c>
      <c r="J11" s="4" t="s">
        <v>218</v>
      </c>
    </row>
    <row r="12" spans="1:10" x14ac:dyDescent="0.2">
      <c r="A12">
        <v>28</v>
      </c>
      <c r="B12">
        <v>345</v>
      </c>
      <c r="C12" t="s">
        <v>32</v>
      </c>
      <c r="D12" t="s">
        <v>170</v>
      </c>
      <c r="E12" t="s">
        <v>109</v>
      </c>
      <c r="F12" t="s">
        <v>156</v>
      </c>
      <c r="G12" t="s">
        <v>162</v>
      </c>
      <c r="H12" t="s">
        <v>156</v>
      </c>
      <c r="I12" t="s">
        <v>226</v>
      </c>
    </row>
    <row r="13" spans="1:10" x14ac:dyDescent="0.2">
      <c r="A13">
        <v>53</v>
      </c>
      <c r="B13">
        <v>211</v>
      </c>
      <c r="C13" t="s">
        <v>57</v>
      </c>
      <c r="D13" t="s">
        <v>170</v>
      </c>
      <c r="E13" t="s">
        <v>134</v>
      </c>
      <c r="F13" t="s">
        <v>156</v>
      </c>
      <c r="G13" t="s">
        <v>162</v>
      </c>
      <c r="H13" t="s">
        <v>156</v>
      </c>
      <c r="I13" t="s">
        <v>226</v>
      </c>
    </row>
    <row r="14" spans="1:10" x14ac:dyDescent="0.2">
      <c r="A14">
        <v>50</v>
      </c>
      <c r="B14">
        <v>312</v>
      </c>
      <c r="C14" t="s">
        <v>54</v>
      </c>
      <c r="D14" t="s">
        <v>170</v>
      </c>
      <c r="E14" t="s">
        <v>131</v>
      </c>
      <c r="F14" t="s">
        <v>156</v>
      </c>
      <c r="G14" t="s">
        <v>162</v>
      </c>
      <c r="H14" t="s">
        <v>156</v>
      </c>
      <c r="I14" t="s">
        <v>226</v>
      </c>
    </row>
    <row r="15" spans="1:10" x14ac:dyDescent="0.2">
      <c r="A15">
        <v>30</v>
      </c>
      <c r="B15">
        <v>351</v>
      </c>
      <c r="C15" t="s">
        <v>34</v>
      </c>
      <c r="D15" t="s">
        <v>170</v>
      </c>
      <c r="E15" t="s">
        <v>111</v>
      </c>
      <c r="F15" t="s">
        <v>156</v>
      </c>
      <c r="G15" t="s">
        <v>162</v>
      </c>
      <c r="H15" t="s">
        <v>156</v>
      </c>
      <c r="I15" t="s">
        <v>226</v>
      </c>
    </row>
    <row r="16" spans="1:10" x14ac:dyDescent="0.2">
      <c r="A16">
        <v>19</v>
      </c>
      <c r="B16">
        <v>383</v>
      </c>
      <c r="C16" t="s">
        <v>23</v>
      </c>
      <c r="D16" t="s">
        <v>170</v>
      </c>
      <c r="E16" t="s">
        <v>99</v>
      </c>
      <c r="F16" t="s">
        <v>156</v>
      </c>
      <c r="G16" t="s">
        <v>162</v>
      </c>
      <c r="H16" t="s">
        <v>156</v>
      </c>
      <c r="I16" t="s">
        <v>226</v>
      </c>
    </row>
    <row r="17" spans="1:10" x14ac:dyDescent="0.2">
      <c r="A17">
        <v>18</v>
      </c>
      <c r="B17">
        <v>323</v>
      </c>
      <c r="C17" t="s">
        <v>22</v>
      </c>
      <c r="D17" t="s">
        <v>170</v>
      </c>
      <c r="E17" t="s">
        <v>98</v>
      </c>
      <c r="F17" t="s">
        <v>156</v>
      </c>
      <c r="G17" t="s">
        <v>162</v>
      </c>
      <c r="H17" t="s">
        <v>156</v>
      </c>
      <c r="I17" t="s">
        <v>226</v>
      </c>
    </row>
    <row r="18" spans="1:10" x14ac:dyDescent="0.2">
      <c r="A18">
        <v>10</v>
      </c>
      <c r="B18">
        <v>203</v>
      </c>
      <c r="C18" t="s">
        <v>14</v>
      </c>
      <c r="D18" t="s">
        <v>170</v>
      </c>
      <c r="E18" t="s">
        <v>91</v>
      </c>
      <c r="F18" t="s">
        <v>156</v>
      </c>
      <c r="G18" t="s">
        <v>162</v>
      </c>
      <c r="H18" t="s">
        <v>156</v>
      </c>
      <c r="I18" t="s">
        <v>226</v>
      </c>
    </row>
    <row r="19" spans="1:10" x14ac:dyDescent="0.2">
      <c r="A19">
        <v>14</v>
      </c>
      <c r="B19">
        <v>287</v>
      </c>
      <c r="C19" t="s">
        <v>18</v>
      </c>
      <c r="D19" t="s">
        <v>170</v>
      </c>
      <c r="E19" t="s">
        <v>95</v>
      </c>
      <c r="F19" t="s">
        <v>156</v>
      </c>
      <c r="G19" t="s">
        <v>162</v>
      </c>
      <c r="H19" t="s">
        <v>156</v>
      </c>
      <c r="I19" t="s">
        <v>226</v>
      </c>
    </row>
    <row r="20" spans="1:10" x14ac:dyDescent="0.2">
      <c r="A20">
        <v>33</v>
      </c>
      <c r="B20">
        <v>434</v>
      </c>
      <c r="C20" t="s">
        <v>37</v>
      </c>
      <c r="D20" t="s">
        <v>170</v>
      </c>
      <c r="E20" t="s">
        <v>114</v>
      </c>
      <c r="F20" t="s">
        <v>156</v>
      </c>
      <c r="G20" t="s">
        <v>162</v>
      </c>
      <c r="H20" t="s">
        <v>156</v>
      </c>
      <c r="I20" t="s">
        <v>226</v>
      </c>
      <c r="J20" s="5" t="s">
        <v>209</v>
      </c>
    </row>
    <row r="21" spans="1:10" x14ac:dyDescent="0.2">
      <c r="A21">
        <v>29</v>
      </c>
      <c r="B21">
        <v>775</v>
      </c>
      <c r="C21" t="s">
        <v>33</v>
      </c>
      <c r="D21" t="s">
        <v>170</v>
      </c>
      <c r="E21" t="s">
        <v>110</v>
      </c>
      <c r="F21" t="s">
        <v>156</v>
      </c>
      <c r="G21" t="s">
        <v>162</v>
      </c>
      <c r="H21" t="s">
        <v>156</v>
      </c>
      <c r="I21" t="s">
        <v>226</v>
      </c>
      <c r="J21" s="5" t="s">
        <v>210</v>
      </c>
    </row>
    <row r="22" spans="1:10" x14ac:dyDescent="0.2">
      <c r="A22">
        <v>43</v>
      </c>
      <c r="B22">
        <v>693</v>
      </c>
      <c r="C22" t="s">
        <v>47</v>
      </c>
      <c r="D22" t="s">
        <v>170</v>
      </c>
      <c r="E22" t="s">
        <v>124</v>
      </c>
      <c r="F22" t="s">
        <v>156</v>
      </c>
      <c r="G22" t="s">
        <v>162</v>
      </c>
      <c r="H22" t="s">
        <v>156</v>
      </c>
      <c r="I22" t="s">
        <v>226</v>
      </c>
      <c r="J22" s="5" t="s">
        <v>211</v>
      </c>
    </row>
    <row r="23" spans="1:10" x14ac:dyDescent="0.2">
      <c r="A23">
        <v>45</v>
      </c>
      <c r="B23">
        <v>415</v>
      </c>
      <c r="C23" t="s">
        <v>49</v>
      </c>
      <c r="D23" t="s">
        <v>170</v>
      </c>
      <c r="E23" t="s">
        <v>126</v>
      </c>
      <c r="F23" t="s">
        <v>156</v>
      </c>
      <c r="G23" t="s">
        <v>162</v>
      </c>
      <c r="H23" t="s">
        <v>156</v>
      </c>
      <c r="I23" t="s">
        <v>226</v>
      </c>
      <c r="J23" s="5" t="s">
        <v>212</v>
      </c>
    </row>
    <row r="24" spans="1:10" x14ac:dyDescent="0.2">
      <c r="A24">
        <v>34</v>
      </c>
      <c r="B24">
        <v>761</v>
      </c>
      <c r="C24" t="s">
        <v>38</v>
      </c>
      <c r="D24" t="s">
        <v>170</v>
      </c>
      <c r="E24" t="s">
        <v>115</v>
      </c>
      <c r="F24" t="s">
        <v>156</v>
      </c>
      <c r="G24" t="s">
        <v>162</v>
      </c>
      <c r="H24" t="s">
        <v>156</v>
      </c>
      <c r="I24" t="s">
        <v>226</v>
      </c>
      <c r="J24" s="5" t="s">
        <v>220</v>
      </c>
    </row>
    <row r="25" spans="1:10" x14ac:dyDescent="0.2">
      <c r="A25">
        <v>52</v>
      </c>
      <c r="B25">
        <v>263</v>
      </c>
      <c r="C25" t="s">
        <v>56</v>
      </c>
      <c r="D25" t="s">
        <v>170</v>
      </c>
      <c r="E25" t="s">
        <v>133</v>
      </c>
      <c r="F25" t="s">
        <v>156</v>
      </c>
      <c r="G25" t="s">
        <v>162</v>
      </c>
      <c r="H25" t="s">
        <v>156</v>
      </c>
      <c r="I25" t="s">
        <v>226</v>
      </c>
      <c r="J25" s="5" t="s">
        <v>213</v>
      </c>
    </row>
    <row r="26" spans="1:10" x14ac:dyDescent="0.2">
      <c r="A26">
        <v>13</v>
      </c>
      <c r="B26">
        <v>1338</v>
      </c>
      <c r="C26" t="s">
        <v>17</v>
      </c>
      <c r="D26" t="s">
        <v>170</v>
      </c>
      <c r="E26" t="s">
        <v>94</v>
      </c>
      <c r="F26" t="s">
        <v>156</v>
      </c>
      <c r="G26" t="s">
        <v>162</v>
      </c>
      <c r="H26" t="s">
        <v>156</v>
      </c>
      <c r="I26" t="s">
        <v>226</v>
      </c>
    </row>
    <row r="27" spans="1:10" x14ac:dyDescent="0.2">
      <c r="A27">
        <v>42</v>
      </c>
      <c r="B27">
        <v>609</v>
      </c>
      <c r="C27" t="s">
        <v>46</v>
      </c>
      <c r="D27" t="s">
        <v>170</v>
      </c>
      <c r="E27" t="s">
        <v>123</v>
      </c>
      <c r="F27" t="s">
        <v>156</v>
      </c>
      <c r="G27" t="s">
        <v>162</v>
      </c>
      <c r="H27" t="s">
        <v>156</v>
      </c>
      <c r="I27" t="s">
        <v>226</v>
      </c>
    </row>
    <row r="28" spans="1:10" x14ac:dyDescent="0.2">
      <c r="A28">
        <v>32</v>
      </c>
      <c r="B28">
        <v>436</v>
      </c>
      <c r="C28" t="s">
        <v>36</v>
      </c>
      <c r="D28" t="s">
        <v>170</v>
      </c>
      <c r="E28" t="s">
        <v>113</v>
      </c>
      <c r="F28" t="s">
        <v>156</v>
      </c>
      <c r="G28" t="s">
        <v>162</v>
      </c>
      <c r="H28" t="s">
        <v>156</v>
      </c>
      <c r="I28" t="s">
        <v>226</v>
      </c>
    </row>
    <row r="29" spans="1:10" x14ac:dyDescent="0.2">
      <c r="A29">
        <v>25</v>
      </c>
      <c r="B29">
        <v>525</v>
      </c>
      <c r="C29" t="s">
        <v>29</v>
      </c>
      <c r="D29" t="s">
        <v>170</v>
      </c>
      <c r="E29" t="s">
        <v>107</v>
      </c>
      <c r="F29" t="s">
        <v>156</v>
      </c>
      <c r="G29" t="s">
        <v>162</v>
      </c>
      <c r="H29" t="s">
        <v>156</v>
      </c>
      <c r="I29" t="s">
        <v>226</v>
      </c>
    </row>
    <row r="30" spans="1:10" x14ac:dyDescent="0.2">
      <c r="A30">
        <v>26</v>
      </c>
      <c r="B30">
        <v>215</v>
      </c>
      <c r="C30" t="s">
        <v>30</v>
      </c>
      <c r="D30" t="s">
        <v>170</v>
      </c>
      <c r="E30" t="s">
        <v>166</v>
      </c>
      <c r="F30" t="s">
        <v>156</v>
      </c>
      <c r="G30" t="s">
        <v>162</v>
      </c>
      <c r="H30" t="s">
        <v>156</v>
      </c>
      <c r="I30" t="s">
        <v>226</v>
      </c>
    </row>
    <row r="31" spans="1:10" x14ac:dyDescent="0.2">
      <c r="A31">
        <v>68</v>
      </c>
      <c r="B31">
        <v>1847</v>
      </c>
      <c r="C31" t="s">
        <v>72</v>
      </c>
      <c r="D31" t="s">
        <v>171</v>
      </c>
      <c r="E31" t="s">
        <v>149</v>
      </c>
      <c r="F31" t="s">
        <v>157</v>
      </c>
      <c r="G31" t="s">
        <v>162</v>
      </c>
      <c r="H31" t="s">
        <v>159</v>
      </c>
      <c r="I31" t="s">
        <v>227</v>
      </c>
      <c r="J31" s="9" t="s">
        <v>156</v>
      </c>
    </row>
    <row r="32" spans="1:10" x14ac:dyDescent="0.2">
      <c r="A32">
        <v>61</v>
      </c>
      <c r="B32">
        <v>550</v>
      </c>
      <c r="C32" t="s">
        <v>65</v>
      </c>
      <c r="D32" t="s">
        <v>171</v>
      </c>
      <c r="E32" t="s">
        <v>141</v>
      </c>
      <c r="F32" t="s">
        <v>157</v>
      </c>
      <c r="G32" t="s">
        <v>162</v>
      </c>
      <c r="H32" t="s">
        <v>159</v>
      </c>
      <c r="I32" t="s">
        <v>227</v>
      </c>
      <c r="J32" s="9" t="s">
        <v>159</v>
      </c>
    </row>
    <row r="33" spans="1:10" x14ac:dyDescent="0.2">
      <c r="A33">
        <v>67</v>
      </c>
      <c r="B33">
        <v>481</v>
      </c>
      <c r="C33" t="s">
        <v>71</v>
      </c>
      <c r="D33" t="s">
        <v>171</v>
      </c>
      <c r="E33" t="s">
        <v>148</v>
      </c>
      <c r="F33" t="s">
        <v>157</v>
      </c>
      <c r="G33" t="s">
        <v>162</v>
      </c>
      <c r="H33" t="s">
        <v>159</v>
      </c>
      <c r="I33" t="s">
        <v>227</v>
      </c>
      <c r="J33" s="9" t="s">
        <v>155</v>
      </c>
    </row>
    <row r="34" spans="1:10" x14ac:dyDescent="0.2">
      <c r="A34">
        <v>4</v>
      </c>
      <c r="B34">
        <v>428</v>
      </c>
      <c r="C34" t="s">
        <v>8</v>
      </c>
      <c r="D34" t="s">
        <v>169</v>
      </c>
      <c r="E34" t="s">
        <v>86</v>
      </c>
      <c r="F34" t="s">
        <v>157</v>
      </c>
      <c r="G34" t="s">
        <v>160</v>
      </c>
      <c r="H34" t="s">
        <v>159</v>
      </c>
      <c r="I34" t="s">
        <v>226</v>
      </c>
      <c r="J34" s="9" t="s">
        <v>223</v>
      </c>
    </row>
    <row r="35" spans="1:10" x14ac:dyDescent="0.2">
      <c r="A35">
        <v>20</v>
      </c>
      <c r="B35">
        <v>1103</v>
      </c>
      <c r="C35" t="s">
        <v>24</v>
      </c>
      <c r="D35" t="s">
        <v>100</v>
      </c>
      <c r="E35" t="s">
        <v>100</v>
      </c>
      <c r="F35" t="s">
        <v>155</v>
      </c>
      <c r="G35" t="s">
        <v>164</v>
      </c>
      <c r="H35" t="s">
        <v>155</v>
      </c>
      <c r="I35" t="s">
        <v>226</v>
      </c>
      <c r="J35" s="9" t="s">
        <v>224</v>
      </c>
    </row>
    <row r="36" spans="1:10" x14ac:dyDescent="0.2">
      <c r="A36">
        <v>69</v>
      </c>
      <c r="B36">
        <v>207</v>
      </c>
      <c r="C36" t="s">
        <v>73</v>
      </c>
      <c r="D36" t="s">
        <v>172</v>
      </c>
      <c r="E36" t="s">
        <v>150</v>
      </c>
      <c r="F36" t="s">
        <v>158</v>
      </c>
      <c r="G36" t="s">
        <v>165</v>
      </c>
      <c r="H36" t="s">
        <v>223</v>
      </c>
      <c r="I36" t="s">
        <v>228</v>
      </c>
    </row>
    <row r="37" spans="1:10" x14ac:dyDescent="0.2">
      <c r="A37">
        <v>-1</v>
      </c>
      <c r="B37">
        <v>33083</v>
      </c>
      <c r="C37" t="s">
        <v>3</v>
      </c>
      <c r="D37" t="s">
        <v>222</v>
      </c>
      <c r="E37" t="s">
        <v>80</v>
      </c>
    </row>
    <row r="38" spans="1:10" x14ac:dyDescent="0.2">
      <c r="A38">
        <v>56</v>
      </c>
      <c r="B38">
        <v>4202</v>
      </c>
      <c r="C38" t="s">
        <v>60</v>
      </c>
      <c r="D38" t="s">
        <v>173</v>
      </c>
      <c r="E38" t="s">
        <v>137</v>
      </c>
      <c r="F38" t="s">
        <v>158</v>
      </c>
      <c r="G38" t="s">
        <v>160</v>
      </c>
      <c r="H38" t="s">
        <v>223</v>
      </c>
      <c r="I38" t="s">
        <v>158</v>
      </c>
      <c r="J38" s="6" t="s">
        <v>226</v>
      </c>
    </row>
    <row r="39" spans="1:10" x14ac:dyDescent="0.2">
      <c r="A39">
        <v>63</v>
      </c>
      <c r="B39">
        <v>258</v>
      </c>
      <c r="C39" t="s">
        <v>67</v>
      </c>
      <c r="D39" t="s">
        <v>174</v>
      </c>
      <c r="E39" t="s">
        <v>142</v>
      </c>
      <c r="F39" t="s">
        <v>158</v>
      </c>
      <c r="G39" t="s">
        <v>165</v>
      </c>
      <c r="H39" t="s">
        <v>223</v>
      </c>
      <c r="I39" t="s">
        <v>158</v>
      </c>
      <c r="J39" s="6" t="s">
        <v>227</v>
      </c>
    </row>
    <row r="40" spans="1:10" x14ac:dyDescent="0.2">
      <c r="A40">
        <v>2</v>
      </c>
      <c r="B40">
        <v>1006</v>
      </c>
      <c r="C40" t="s">
        <v>6</v>
      </c>
      <c r="D40" t="s">
        <v>175</v>
      </c>
      <c r="E40" t="s">
        <v>84</v>
      </c>
      <c r="F40" t="s">
        <v>156</v>
      </c>
      <c r="G40" t="s">
        <v>162</v>
      </c>
      <c r="H40" t="s">
        <v>156</v>
      </c>
      <c r="I40" t="s">
        <v>228</v>
      </c>
      <c r="J40" s="6" t="s">
        <v>158</v>
      </c>
    </row>
    <row r="41" spans="1:10" x14ac:dyDescent="0.2">
      <c r="A41">
        <v>54</v>
      </c>
      <c r="B41">
        <v>241</v>
      </c>
      <c r="C41" t="s">
        <v>58</v>
      </c>
      <c r="D41" t="s">
        <v>238</v>
      </c>
      <c r="E41" t="s">
        <v>135</v>
      </c>
      <c r="F41" t="s">
        <v>155</v>
      </c>
      <c r="G41" t="s">
        <v>161</v>
      </c>
      <c r="H41" t="s">
        <v>155</v>
      </c>
      <c r="I41" t="s">
        <v>228</v>
      </c>
      <c r="J41" s="6" t="s">
        <v>228</v>
      </c>
    </row>
    <row r="42" spans="1:10" x14ac:dyDescent="0.2">
      <c r="A42">
        <v>48</v>
      </c>
      <c r="B42">
        <v>403</v>
      </c>
      <c r="C42" t="s">
        <v>52</v>
      </c>
      <c r="D42" t="s">
        <v>129</v>
      </c>
      <c r="E42" t="s">
        <v>129</v>
      </c>
      <c r="F42" t="s">
        <v>155</v>
      </c>
      <c r="G42" t="s">
        <v>160</v>
      </c>
      <c r="H42" t="s">
        <v>155</v>
      </c>
      <c r="I42" t="s">
        <v>228</v>
      </c>
      <c r="J42" s="6" t="s">
        <v>235</v>
      </c>
    </row>
    <row r="43" spans="1:10" x14ac:dyDescent="0.2">
      <c r="A43">
        <v>46</v>
      </c>
      <c r="B43">
        <v>554</v>
      </c>
      <c r="C43" t="s">
        <v>50</v>
      </c>
      <c r="D43" t="s">
        <v>176</v>
      </c>
      <c r="E43" t="s">
        <v>127</v>
      </c>
      <c r="F43" t="s">
        <v>155</v>
      </c>
      <c r="G43" t="s">
        <v>160</v>
      </c>
      <c r="H43" t="s">
        <v>155</v>
      </c>
      <c r="I43" t="s">
        <v>226</v>
      </c>
    </row>
    <row r="44" spans="1:10" x14ac:dyDescent="0.2">
      <c r="A44">
        <v>35</v>
      </c>
      <c r="B44">
        <v>1829</v>
      </c>
      <c r="C44" t="s">
        <v>39</v>
      </c>
      <c r="D44" t="s">
        <v>234</v>
      </c>
      <c r="E44" t="s">
        <v>116</v>
      </c>
      <c r="F44" t="s">
        <v>155</v>
      </c>
      <c r="G44" t="s">
        <v>160</v>
      </c>
      <c r="H44" t="s">
        <v>155</v>
      </c>
      <c r="I44" t="s">
        <v>228</v>
      </c>
    </row>
    <row r="45" spans="1:10" x14ac:dyDescent="0.2">
      <c r="A45">
        <v>9</v>
      </c>
      <c r="B45">
        <v>437</v>
      </c>
      <c r="C45" t="s">
        <v>13</v>
      </c>
      <c r="D45" t="s">
        <v>233</v>
      </c>
      <c r="E45" t="s">
        <v>90</v>
      </c>
      <c r="F45" t="s">
        <v>214</v>
      </c>
      <c r="G45" t="s">
        <v>160</v>
      </c>
      <c r="H45" t="s">
        <v>155</v>
      </c>
      <c r="I45" t="s">
        <v>228</v>
      </c>
    </row>
    <row r="46" spans="1:10" x14ac:dyDescent="0.2">
      <c r="A46">
        <v>5</v>
      </c>
      <c r="B46">
        <v>411</v>
      </c>
      <c r="C46" t="s">
        <v>9</v>
      </c>
      <c r="D46" t="s">
        <v>221</v>
      </c>
      <c r="E46" t="s">
        <v>87</v>
      </c>
      <c r="F46" t="s">
        <v>158</v>
      </c>
      <c r="G46" t="s">
        <v>164</v>
      </c>
      <c r="H46" t="s">
        <v>223</v>
      </c>
      <c r="I46" t="s">
        <v>158</v>
      </c>
    </row>
    <row r="47" spans="1:10" x14ac:dyDescent="0.2">
      <c r="A47">
        <v>64</v>
      </c>
      <c r="B47">
        <v>246</v>
      </c>
      <c r="C47" t="s">
        <v>68</v>
      </c>
      <c r="D47" t="s">
        <v>177</v>
      </c>
      <c r="E47" t="s">
        <v>145</v>
      </c>
      <c r="F47" t="s">
        <v>155</v>
      </c>
      <c r="G47" t="s">
        <v>162</v>
      </c>
      <c r="H47" t="s">
        <v>155</v>
      </c>
      <c r="I47" t="s">
        <v>226</v>
      </c>
    </row>
    <row r="48" spans="1:10" x14ac:dyDescent="0.2">
      <c r="A48">
        <v>8</v>
      </c>
      <c r="B48">
        <v>768</v>
      </c>
      <c r="C48" t="s">
        <v>12</v>
      </c>
      <c r="D48" t="s">
        <v>178</v>
      </c>
      <c r="E48" t="s">
        <v>106</v>
      </c>
      <c r="F48" t="s">
        <v>155</v>
      </c>
      <c r="G48" t="s">
        <v>164</v>
      </c>
      <c r="H48" t="s">
        <v>155</v>
      </c>
      <c r="I48" t="s">
        <v>226</v>
      </c>
    </row>
    <row r="49" spans="1:9" x14ac:dyDescent="0.2">
      <c r="A49">
        <v>22</v>
      </c>
      <c r="B49">
        <v>381</v>
      </c>
      <c r="C49" t="s">
        <v>26</v>
      </c>
      <c r="D49" t="s">
        <v>179</v>
      </c>
      <c r="E49" t="s">
        <v>102</v>
      </c>
      <c r="F49" t="s">
        <v>155</v>
      </c>
      <c r="G49" t="s">
        <v>163</v>
      </c>
      <c r="H49" t="s">
        <v>155</v>
      </c>
      <c r="I49" t="s">
        <v>226</v>
      </c>
    </row>
    <row r="50" spans="1:9" x14ac:dyDescent="0.2">
      <c r="A50">
        <v>55</v>
      </c>
      <c r="B50">
        <v>574</v>
      </c>
      <c r="C50" t="s">
        <v>59</v>
      </c>
      <c r="D50" t="s">
        <v>180</v>
      </c>
      <c r="E50" t="s">
        <v>136</v>
      </c>
      <c r="F50" t="s">
        <v>155</v>
      </c>
      <c r="G50" t="s">
        <v>161</v>
      </c>
      <c r="H50" t="s">
        <v>155</v>
      </c>
      <c r="I50" t="s">
        <v>226</v>
      </c>
    </row>
    <row r="51" spans="1:9" x14ac:dyDescent="0.2">
      <c r="A51">
        <v>60</v>
      </c>
      <c r="B51">
        <v>790</v>
      </c>
      <c r="C51" t="s">
        <v>64</v>
      </c>
      <c r="D51" t="s">
        <v>181</v>
      </c>
      <c r="E51" t="s">
        <v>144</v>
      </c>
      <c r="F51" t="s">
        <v>155</v>
      </c>
      <c r="G51" t="s">
        <v>160</v>
      </c>
      <c r="H51" t="s">
        <v>155</v>
      </c>
      <c r="I51" t="s">
        <v>226</v>
      </c>
    </row>
    <row r="52" spans="1:9" x14ac:dyDescent="0.2">
      <c r="A52">
        <v>3</v>
      </c>
      <c r="B52">
        <v>480</v>
      </c>
      <c r="C52" t="s">
        <v>7</v>
      </c>
      <c r="D52" t="s">
        <v>182</v>
      </c>
      <c r="E52" t="s">
        <v>85</v>
      </c>
      <c r="F52" t="s">
        <v>155</v>
      </c>
      <c r="G52" t="s">
        <v>163</v>
      </c>
      <c r="H52" t="s">
        <v>155</v>
      </c>
      <c r="I52" t="s">
        <v>226</v>
      </c>
    </row>
    <row r="53" spans="1:9" x14ac:dyDescent="0.2">
      <c r="A53">
        <v>15</v>
      </c>
      <c r="B53">
        <v>298</v>
      </c>
      <c r="C53" t="s">
        <v>19</v>
      </c>
      <c r="D53" t="s">
        <v>183</v>
      </c>
      <c r="E53" t="s">
        <v>96</v>
      </c>
      <c r="F53" t="s">
        <v>155</v>
      </c>
      <c r="G53" t="s">
        <v>162</v>
      </c>
      <c r="H53" t="s">
        <v>155</v>
      </c>
      <c r="I53" t="s">
        <v>226</v>
      </c>
    </row>
    <row r="54" spans="1:9" x14ac:dyDescent="0.2">
      <c r="A54">
        <v>59</v>
      </c>
      <c r="B54">
        <v>480</v>
      </c>
      <c r="C54" t="s">
        <v>63</v>
      </c>
      <c r="D54" t="s">
        <v>184</v>
      </c>
      <c r="E54" t="s">
        <v>143</v>
      </c>
      <c r="F54" t="s">
        <v>155</v>
      </c>
      <c r="G54" t="s">
        <v>162</v>
      </c>
      <c r="H54" t="s">
        <v>155</v>
      </c>
      <c r="I54" t="s">
        <v>226</v>
      </c>
    </row>
    <row r="55" spans="1:9" x14ac:dyDescent="0.2">
      <c r="A55">
        <v>16</v>
      </c>
      <c r="B55">
        <v>302</v>
      </c>
      <c r="C55" t="s">
        <v>20</v>
      </c>
      <c r="D55" t="s">
        <v>185</v>
      </c>
      <c r="E55" t="s">
        <v>105</v>
      </c>
      <c r="F55" t="s">
        <v>155</v>
      </c>
      <c r="G55" t="s">
        <v>162</v>
      </c>
      <c r="H55" t="s">
        <v>155</v>
      </c>
      <c r="I55" t="s">
        <v>226</v>
      </c>
    </row>
    <row r="56" spans="1:9" x14ac:dyDescent="0.2">
      <c r="A56">
        <v>65</v>
      </c>
      <c r="B56">
        <v>328</v>
      </c>
      <c r="C56" t="s">
        <v>69</v>
      </c>
      <c r="D56" t="s">
        <v>186</v>
      </c>
      <c r="E56" t="s">
        <v>146</v>
      </c>
      <c r="F56" t="s">
        <v>155</v>
      </c>
      <c r="G56" t="s">
        <v>162</v>
      </c>
      <c r="H56" t="s">
        <v>155</v>
      </c>
      <c r="I56" t="s">
        <v>226</v>
      </c>
    </row>
    <row r="57" spans="1:9" x14ac:dyDescent="0.2">
      <c r="A57">
        <v>24</v>
      </c>
      <c r="B57">
        <v>1009</v>
      </c>
      <c r="C57" t="s">
        <v>28</v>
      </c>
      <c r="D57" t="s">
        <v>187</v>
      </c>
      <c r="E57" t="s">
        <v>104</v>
      </c>
      <c r="F57" t="s">
        <v>155</v>
      </c>
      <c r="G57" t="s">
        <v>163</v>
      </c>
      <c r="H57" t="s">
        <v>155</v>
      </c>
      <c r="I57" t="s">
        <v>226</v>
      </c>
    </row>
    <row r="58" spans="1:9" x14ac:dyDescent="0.2">
      <c r="A58">
        <v>23</v>
      </c>
      <c r="B58">
        <v>536</v>
      </c>
      <c r="C58" t="s">
        <v>27</v>
      </c>
      <c r="D58" t="s">
        <v>188</v>
      </c>
      <c r="E58" t="s">
        <v>103</v>
      </c>
      <c r="F58" t="s">
        <v>155</v>
      </c>
      <c r="G58" t="s">
        <v>163</v>
      </c>
      <c r="H58" t="s">
        <v>155</v>
      </c>
      <c r="I58" t="s">
        <v>226</v>
      </c>
    </row>
    <row r="59" spans="1:9" x14ac:dyDescent="0.2">
      <c r="A59">
        <v>49</v>
      </c>
      <c r="B59">
        <v>498</v>
      </c>
      <c r="C59" t="s">
        <v>53</v>
      </c>
      <c r="D59" t="s">
        <v>189</v>
      </c>
      <c r="E59" t="s">
        <v>130</v>
      </c>
      <c r="F59" t="s">
        <v>155</v>
      </c>
      <c r="G59" t="s">
        <v>160</v>
      </c>
      <c r="H59" t="s">
        <v>155</v>
      </c>
      <c r="I59" t="s">
        <v>228</v>
      </c>
    </row>
    <row r="60" spans="1:9" x14ac:dyDescent="0.2">
      <c r="A60">
        <v>11</v>
      </c>
      <c r="B60">
        <v>288</v>
      </c>
      <c r="C60" t="s">
        <v>15</v>
      </c>
      <c r="D60" t="s">
        <v>190</v>
      </c>
      <c r="E60" t="s">
        <v>92</v>
      </c>
      <c r="F60" t="s">
        <v>214</v>
      </c>
      <c r="G60" t="s">
        <v>160</v>
      </c>
      <c r="H60" t="s">
        <v>155</v>
      </c>
      <c r="I60" t="s">
        <v>228</v>
      </c>
    </row>
    <row r="61" spans="1:9" x14ac:dyDescent="0.2">
      <c r="A61">
        <v>71</v>
      </c>
      <c r="B61">
        <v>533</v>
      </c>
      <c r="C61" t="s">
        <v>75</v>
      </c>
      <c r="D61" t="s">
        <v>191</v>
      </c>
      <c r="E61" t="s">
        <v>152</v>
      </c>
      <c r="F61" t="s">
        <v>155</v>
      </c>
      <c r="G61" t="s">
        <v>163</v>
      </c>
      <c r="H61" t="s">
        <v>155</v>
      </c>
      <c r="I61" t="s">
        <v>226</v>
      </c>
    </row>
    <row r="62" spans="1:9" x14ac:dyDescent="0.2">
      <c r="A62">
        <v>66</v>
      </c>
      <c r="B62">
        <v>817</v>
      </c>
      <c r="C62" t="s">
        <v>70</v>
      </c>
      <c r="D62" t="s">
        <v>192</v>
      </c>
      <c r="E62" t="s">
        <v>147</v>
      </c>
      <c r="F62" t="s">
        <v>155</v>
      </c>
      <c r="G62" t="s">
        <v>161</v>
      </c>
      <c r="H62" t="s">
        <v>155</v>
      </c>
      <c r="I62" t="s">
        <v>226</v>
      </c>
    </row>
    <row r="63" spans="1:9" x14ac:dyDescent="0.2">
      <c r="A63">
        <v>51</v>
      </c>
      <c r="B63">
        <v>1674</v>
      </c>
      <c r="C63" t="s">
        <v>55</v>
      </c>
      <c r="D63" t="s">
        <v>193</v>
      </c>
      <c r="E63" t="s">
        <v>132</v>
      </c>
      <c r="F63" t="s">
        <v>159</v>
      </c>
      <c r="G63" t="s">
        <v>163</v>
      </c>
      <c r="H63" t="s">
        <v>159</v>
      </c>
      <c r="I63" t="s">
        <v>227</v>
      </c>
    </row>
    <row r="64" spans="1:9" x14ac:dyDescent="0.2">
      <c r="A64">
        <v>57</v>
      </c>
      <c r="B64">
        <v>1713</v>
      </c>
      <c r="C64" t="s">
        <v>61</v>
      </c>
      <c r="D64" t="s">
        <v>194</v>
      </c>
      <c r="E64" t="s">
        <v>138</v>
      </c>
      <c r="F64" t="s">
        <v>216</v>
      </c>
      <c r="G64" t="s">
        <v>161</v>
      </c>
      <c r="H64" t="s">
        <v>224</v>
      </c>
      <c r="I64" t="s">
        <v>228</v>
      </c>
    </row>
    <row r="65" spans="1:9" x14ac:dyDescent="0.2">
      <c r="A65">
        <v>6</v>
      </c>
      <c r="B65">
        <v>215</v>
      </c>
      <c r="C65" t="s">
        <v>10</v>
      </c>
      <c r="D65" t="s">
        <v>170</v>
      </c>
      <c r="E65" t="s">
        <v>88</v>
      </c>
      <c r="F65" t="s">
        <v>156</v>
      </c>
      <c r="G65" t="s">
        <v>162</v>
      </c>
      <c r="H65" t="s">
        <v>156</v>
      </c>
      <c r="I65" t="s">
        <v>226</v>
      </c>
    </row>
    <row r="66" spans="1:9" x14ac:dyDescent="0.2">
      <c r="A66">
        <v>39</v>
      </c>
      <c r="B66">
        <v>408</v>
      </c>
      <c r="C66" t="s">
        <v>43</v>
      </c>
      <c r="D66" t="s">
        <v>195</v>
      </c>
      <c r="E66" t="s">
        <v>120</v>
      </c>
      <c r="F66" t="s">
        <v>214</v>
      </c>
      <c r="G66" t="s">
        <v>162</v>
      </c>
      <c r="H66" t="s">
        <v>155</v>
      </c>
      <c r="I66" t="s">
        <v>228</v>
      </c>
    </row>
    <row r="67" spans="1:9" x14ac:dyDescent="0.2">
      <c r="A67">
        <v>7</v>
      </c>
      <c r="B67">
        <v>382</v>
      </c>
      <c r="C67" t="s">
        <v>11</v>
      </c>
      <c r="D67" t="s">
        <v>196</v>
      </c>
      <c r="E67" t="s">
        <v>89</v>
      </c>
      <c r="F67" t="s">
        <v>156</v>
      </c>
      <c r="G67" t="s">
        <v>162</v>
      </c>
      <c r="H67" t="s">
        <v>156</v>
      </c>
      <c r="I67" t="s">
        <v>226</v>
      </c>
    </row>
    <row r="68" spans="1:9" x14ac:dyDescent="0.2">
      <c r="A68">
        <v>72</v>
      </c>
      <c r="B68">
        <v>257</v>
      </c>
      <c r="C68" t="s">
        <v>76</v>
      </c>
      <c r="D68" t="s">
        <v>231</v>
      </c>
      <c r="E68" t="s">
        <v>153</v>
      </c>
      <c r="F68" t="s">
        <v>155</v>
      </c>
      <c r="G68" t="s">
        <v>161</v>
      </c>
      <c r="H68" t="s">
        <v>155</v>
      </c>
      <c r="I68" t="s">
        <v>226</v>
      </c>
    </row>
    <row r="69" spans="1:9" x14ac:dyDescent="0.2">
      <c r="A69">
        <v>17</v>
      </c>
      <c r="B69">
        <v>704</v>
      </c>
      <c r="C69" t="s">
        <v>21</v>
      </c>
      <c r="D69" t="s">
        <v>232</v>
      </c>
      <c r="E69" t="s">
        <v>97</v>
      </c>
      <c r="F69" t="s">
        <v>214</v>
      </c>
      <c r="G69" t="s">
        <v>162</v>
      </c>
      <c r="H69" t="s">
        <v>155</v>
      </c>
      <c r="I69" t="s">
        <v>228</v>
      </c>
    </row>
    <row r="70" spans="1:9" x14ac:dyDescent="0.2">
      <c r="A70">
        <v>73</v>
      </c>
      <c r="B70">
        <v>326</v>
      </c>
      <c r="C70" t="s">
        <v>77</v>
      </c>
      <c r="D70" t="s">
        <v>197</v>
      </c>
      <c r="E70" t="s">
        <v>154</v>
      </c>
      <c r="F70" t="s">
        <v>158</v>
      </c>
      <c r="G70" t="s">
        <v>161</v>
      </c>
      <c r="H70" t="s">
        <v>155</v>
      </c>
      <c r="I70" t="s">
        <v>158</v>
      </c>
    </row>
    <row r="71" spans="1:9" x14ac:dyDescent="0.2">
      <c r="A71">
        <v>37</v>
      </c>
      <c r="B71">
        <v>711</v>
      </c>
      <c r="C71" t="s">
        <v>41</v>
      </c>
      <c r="D71" t="s">
        <v>198</v>
      </c>
      <c r="E71" t="s">
        <v>118</v>
      </c>
      <c r="F71" t="s">
        <v>156</v>
      </c>
      <c r="G71" t="s">
        <v>162</v>
      </c>
      <c r="H71" t="s">
        <v>156</v>
      </c>
      <c r="I71" t="s">
        <v>226</v>
      </c>
    </row>
    <row r="72" spans="1:9" x14ac:dyDescent="0.2">
      <c r="A72">
        <v>58</v>
      </c>
      <c r="B72">
        <v>1923</v>
      </c>
      <c r="C72" t="s">
        <v>62</v>
      </c>
      <c r="D72" t="s">
        <v>199</v>
      </c>
      <c r="E72" t="s">
        <v>139</v>
      </c>
      <c r="F72" t="s">
        <v>216</v>
      </c>
      <c r="G72" t="s">
        <v>162</v>
      </c>
      <c r="H72" t="s">
        <v>224</v>
      </c>
      <c r="I72" t="s">
        <v>227</v>
      </c>
    </row>
    <row r="73" spans="1:9" x14ac:dyDescent="0.2">
      <c r="A73">
        <v>62</v>
      </c>
      <c r="B73">
        <v>572</v>
      </c>
      <c r="C73" t="s">
        <v>66</v>
      </c>
      <c r="D73" t="s">
        <v>140</v>
      </c>
      <c r="E73" t="s">
        <v>140</v>
      </c>
      <c r="F73" t="s">
        <v>157</v>
      </c>
      <c r="G73" t="s">
        <v>162</v>
      </c>
      <c r="H73" s="7" t="s">
        <v>159</v>
      </c>
      <c r="I73" s="7" t="s">
        <v>227</v>
      </c>
    </row>
    <row r="74" spans="1:9" x14ac:dyDescent="0.2">
      <c r="A74">
        <v>41</v>
      </c>
      <c r="B74">
        <v>358</v>
      </c>
      <c r="C74" t="s">
        <v>45</v>
      </c>
      <c r="D74" t="s">
        <v>200</v>
      </c>
      <c r="E74" t="s">
        <v>122</v>
      </c>
      <c r="F74" t="s">
        <v>215</v>
      </c>
      <c r="G74" t="s">
        <v>163</v>
      </c>
      <c r="H74" t="s">
        <v>223</v>
      </c>
      <c r="I74" t="s">
        <v>158</v>
      </c>
    </row>
    <row r="75" spans="1:9" x14ac:dyDescent="0.2">
      <c r="A75">
        <v>0</v>
      </c>
      <c r="B75">
        <v>13300</v>
      </c>
      <c r="C75" t="s">
        <v>4</v>
      </c>
      <c r="D75" t="s">
        <v>201</v>
      </c>
      <c r="E75" t="s">
        <v>82</v>
      </c>
      <c r="F75" t="s">
        <v>216</v>
      </c>
      <c r="G75" t="s">
        <v>160</v>
      </c>
      <c r="H75" t="s">
        <v>224</v>
      </c>
      <c r="I75" t="s">
        <v>224</v>
      </c>
    </row>
    <row r="76" spans="1:9" x14ac:dyDescent="0.2">
      <c r="A76">
        <v>38</v>
      </c>
      <c r="B76">
        <v>1010</v>
      </c>
      <c r="C76" t="s">
        <v>42</v>
      </c>
      <c r="D76" t="s">
        <v>202</v>
      </c>
      <c r="E76" t="s">
        <v>119</v>
      </c>
      <c r="F76" t="s">
        <v>156</v>
      </c>
      <c r="G76" t="s">
        <v>162</v>
      </c>
      <c r="H76" t="s">
        <v>156</v>
      </c>
      <c r="I76" t="s">
        <v>226</v>
      </c>
    </row>
    <row r="82" spans="3:5" x14ac:dyDescent="0.2">
      <c r="C82" s="10" t="s">
        <v>237</v>
      </c>
      <c r="D82" s="10">
        <f>COUNTA(_xlfn.UNIQUE(D2:D76))</f>
        <v>48</v>
      </c>
      <c r="E82" s="10">
        <f>COUNTA(_xlfn.UNIQUE(E2:E76))</f>
        <v>75</v>
      </c>
    </row>
  </sheetData>
  <sortState xmlns:xlrd2="http://schemas.microsoft.com/office/spreadsheetml/2017/richdata2" ref="A2:G76">
    <sortCondition ref="E1:E76"/>
  </sortState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Ilya Ilyankou (Staff)</cp:lastModifiedBy>
  <dcterms:created xsi:type="dcterms:W3CDTF">2026-02-06T17:53:52Z</dcterms:created>
  <dcterms:modified xsi:type="dcterms:W3CDTF">2026-02-19T12:21:34Z</dcterms:modified>
</cp:coreProperties>
</file>